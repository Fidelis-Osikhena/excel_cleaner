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PROGRAMMING\DRAS Files\Xcel Energy - 6'' Kodak Plant Lateral - Dynamic Risk Files\"/>
    </mc:Choice>
  </mc:AlternateContent>
  <xr:revisionPtr revIDLastSave="0" documentId="8_{C07F2AAD-D48C-4628-B95F-3433B530BDAD}" xr6:coauthVersionLast="47" xr6:coauthVersionMax="47" xr10:uidLastSave="{00000000-0000-0000-0000-000000000000}"/>
  <bookViews>
    <workbookView xWindow="-110" yWindow="-110" windowWidth="38620" windowHeight="21100" xr2:uid="{61868A42-6418-4DB9-9F0A-981E9A87AB0D}"/>
  </bookViews>
  <sheets>
    <sheet name="CallBox1" sheetId="1" r:id="rId1"/>
  </sheets>
  <calcPr calcId="0"/>
</workbook>
</file>

<file path=xl/calcChain.xml><?xml version="1.0" encoding="utf-8"?>
<calcChain xmlns="http://schemas.openxmlformats.org/spreadsheetml/2006/main">
  <c r="O8" i="1" l="1"/>
  <c r="O10" i="1"/>
</calcChain>
</file>

<file path=xl/sharedStrings.xml><?xml version="1.0" encoding="utf-8"?>
<sst xmlns="http://schemas.openxmlformats.org/spreadsheetml/2006/main" count="82" uniqueCount="60">
  <si>
    <t>PackageCode</t>
  </si>
  <si>
    <t>ID</t>
  </si>
  <si>
    <t>Cluster ID</t>
  </si>
  <si>
    <t>Odometer</t>
  </si>
  <si>
    <t>Azimuth</t>
  </si>
  <si>
    <t>X_Coord</t>
  </si>
  <si>
    <t>Y_Coord</t>
  </si>
  <si>
    <t>Lat</t>
  </si>
  <si>
    <t>Long</t>
  </si>
  <si>
    <t>Height</t>
  </si>
  <si>
    <t>Length</t>
  </si>
  <si>
    <t>Width</t>
  </si>
  <si>
    <t>Peak Depth</t>
  </si>
  <si>
    <t>Failure Pressure</t>
  </si>
  <si>
    <t>FPR</t>
  </si>
  <si>
    <t>FPRTC</t>
  </si>
  <si>
    <t>RPR</t>
  </si>
  <si>
    <t>Manual Analysis Flag</t>
  </si>
  <si>
    <t>Surface</t>
  </si>
  <si>
    <t>Metal Loss Type</t>
  </si>
  <si>
    <t>Growth Rate</t>
  </si>
  <si>
    <t>Discovery Date</t>
  </si>
  <si>
    <t>ERF</t>
  </si>
  <si>
    <t>Depth Tolerance - @ 80% Conf.</t>
  </si>
  <si>
    <t>Depth Tolerance - StdDev</t>
  </si>
  <si>
    <t>Length Tolerance - @ 80% Conf.</t>
  </si>
  <si>
    <t>Length Tolerance - StdDev</t>
  </si>
  <si>
    <t>Width Tolerance - @ 80% Conf.</t>
  </si>
  <si>
    <t>Width Tolerance - StdDev</t>
  </si>
  <si>
    <t>where CallBox = 1</t>
  </si>
  <si>
    <t xml:space="preserve"> </t>
  </si>
  <si>
    <t>Feature ID</t>
  </si>
  <si>
    <t>if Cluster is blank = Feature ID</t>
  </si>
  <si>
    <t>Odometer Main</t>
  </si>
  <si>
    <t>Orientation Center</t>
  </si>
  <si>
    <t>Easting</t>
  </si>
  <si>
    <t>Northing</t>
  </si>
  <si>
    <t>Latitude</t>
  </si>
  <si>
    <t>Longitude</t>
  </si>
  <si>
    <t>Depth (%)</t>
  </si>
  <si>
    <t>MB31G</t>
  </si>
  <si>
    <t>= ((MB31G / SMYS) / (2*Wall Thickness / Outside Diameter)</t>
  </si>
  <si>
    <t>if isExternal = Yes, "E"</t>
  </si>
  <si>
    <t>= round(MAOP / 72% of MB31G,3)</t>
  </si>
  <si>
    <t>this will be a column added to the noviview export by analyst</t>
  </si>
  <si>
    <t>if cluster is not blank = use cluster ID to feature ID of parent cluster</t>
  </si>
  <si>
    <t>in degrees, 0-360</t>
  </si>
  <si>
    <t>or</t>
  </si>
  <si>
    <t>if isExternal = No, "I"</t>
  </si>
  <si>
    <t>can be ft or m in headers</t>
  </si>
  <si>
    <t>if export is already 0-360, copy column</t>
  </si>
  <si>
    <t>can be in or mm in header</t>
  </si>
  <si>
    <t>can be kpa or psi in header</t>
  </si>
  <si>
    <t>= round(MOP / 72% of MB31G,3)</t>
  </si>
  <si>
    <t>if export is clock, convert to 0-360</t>
  </si>
  <si>
    <t>whichever is not blank (MOP or MAOP)</t>
  </si>
  <si>
    <t>find column with this header in export file</t>
  </si>
  <si>
    <t xml:space="preserve"> Depth Tolerance - @ 80% Conf. / 1.25
rounded to 3 decimals</t>
  </si>
  <si>
    <t>Length Tolerance - @ 80% Conf. / 1.25
rounded to 3 decimals</t>
  </si>
  <si>
    <t>Width Tolerance - @ 80% Conf. / 1.25
rounded to 3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</si>
</sst>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8" fontId="0" fillId="0" borderId="0" xfId="0" applyNumberFormat="1"/>
    <xf numFmtId="0" fontId="0" fillId="33" borderId="0" xfId="0" quotePrefix="1" applyFill="1" applyAlignment="1">
      <alignment wrapText="1"/>
    </xf>
    <xf numFmtId="2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D82A-8744-4603-8790-9EFD977CCB83}">
  <dimension ref="A1:AC38"/>
  <sheetViews>
    <sheetView tabSelected="1" topLeftCell="D1" zoomScale="55" zoomScaleNormal="55" workbookViewId="0">
      <selection activeCell="X8" sqref="X8:AC8"/>
    </sheetView>
  </sheetViews>
  <sheetFormatPr defaultRowHeight="14.5" x14ac:dyDescent="0.35"/>
  <cols>
    <col min="1" max="1" width="12" bestFit="1" customWidth="1"/>
    <col min="2" max="2" width="49.08984375" bestFit="1" customWidth="1"/>
    <col min="3" max="3" width="54.81640625" bestFit="1" customWidth="1"/>
    <col min="4" max="4" width="20.54296875" bestFit="1" customWidth="1"/>
    <col min="5" max="5" width="31.81640625" bestFit="1" customWidth="1"/>
    <col min="6" max="7" width="20.54296875" bestFit="1" customWidth="1"/>
    <col min="8" max="8" width="7.453125" bestFit="1" customWidth="1"/>
    <col min="10" max="10" width="20.54296875" bestFit="1" customWidth="1"/>
    <col min="11" max="12" width="21.54296875" bestFit="1" customWidth="1"/>
    <col min="13" max="13" width="10.08984375" bestFit="1" customWidth="1"/>
    <col min="14" max="14" width="22.26953125" bestFit="1" customWidth="1"/>
    <col min="15" max="15" width="31.81640625" bestFit="1" customWidth="1"/>
    <col min="16" max="16" width="20.453125" style="4" customWidth="1"/>
    <col min="17" max="17" width="48.81640625" bestFit="1" customWidth="1"/>
    <col min="18" max="18" width="20.7265625" style="4" customWidth="1"/>
    <col min="19" max="19" width="18.08984375" bestFit="1" customWidth="1"/>
    <col min="20" max="20" width="16.26953125" style="4" customWidth="1"/>
    <col min="21" max="21" width="10.7265625" bestFit="1" customWidth="1"/>
    <col min="22" max="22" width="13.08984375" bestFit="1" customWidth="1"/>
    <col min="23" max="23" width="31.81640625" bestFit="1" customWidth="1"/>
    <col min="24" max="24" width="21.54296875" style="4" customWidth="1"/>
    <col min="25" max="25" width="36.36328125" customWidth="1"/>
    <col min="26" max="26" width="26.6328125" style="4" bestFit="1" customWidth="1"/>
    <col min="27" max="27" width="35.1796875" customWidth="1"/>
    <col min="28" max="28" width="25.90625" style="4" bestFit="1" customWidth="1"/>
    <col min="29" max="29" width="34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t="s">
        <v>28</v>
      </c>
    </row>
    <row r="4" spans="1:29" x14ac:dyDescent="0.35">
      <c r="B4" t="s">
        <v>29</v>
      </c>
    </row>
    <row r="8" spans="1:29" ht="43.5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9</v>
      </c>
      <c r="K8" t="s">
        <v>10</v>
      </c>
      <c r="L8" t="s">
        <v>11</v>
      </c>
      <c r="M8" t="s">
        <v>39</v>
      </c>
      <c r="N8" t="s">
        <v>40</v>
      </c>
      <c r="O8" t="e">
        <f xml:space="preserve"> ROUND(MB31G / MAOP,3)</f>
        <v>#NAME?</v>
      </c>
      <c r="P8" s="5" t="s">
        <v>56</v>
      </c>
      <c r="Q8" t="s">
        <v>41</v>
      </c>
      <c r="R8" s="5" t="s">
        <v>56</v>
      </c>
      <c r="S8" t="s">
        <v>42</v>
      </c>
      <c r="T8" s="5" t="s">
        <v>56</v>
      </c>
      <c r="U8" t="s">
        <v>30</v>
      </c>
      <c r="V8" t="s">
        <v>30</v>
      </c>
      <c r="W8" t="s">
        <v>43</v>
      </c>
      <c r="X8" s="5" t="s">
        <v>56</v>
      </c>
      <c r="Y8" s="2" t="s">
        <v>57</v>
      </c>
      <c r="Z8" s="5" t="s">
        <v>56</v>
      </c>
      <c r="AA8" s="2" t="s">
        <v>58</v>
      </c>
      <c r="AB8" s="5" t="s">
        <v>56</v>
      </c>
      <c r="AC8" s="2" t="s">
        <v>59</v>
      </c>
    </row>
    <row r="9" spans="1:29" x14ac:dyDescent="0.35">
      <c r="A9" t="s">
        <v>30</v>
      </c>
      <c r="B9" t="s">
        <v>44</v>
      </c>
      <c r="C9" t="s">
        <v>45</v>
      </c>
      <c r="E9" t="s">
        <v>46</v>
      </c>
      <c r="O9" t="s">
        <v>47</v>
      </c>
      <c r="S9" t="s">
        <v>48</v>
      </c>
      <c r="U9" t="s">
        <v>30</v>
      </c>
      <c r="V9" t="s">
        <v>30</v>
      </c>
      <c r="W9" t="s">
        <v>47</v>
      </c>
    </row>
    <row r="10" spans="1:29" x14ac:dyDescent="0.35">
      <c r="A10" t="s">
        <v>30</v>
      </c>
      <c r="D10" t="s">
        <v>49</v>
      </c>
      <c r="E10" t="s">
        <v>50</v>
      </c>
      <c r="F10" t="s">
        <v>49</v>
      </c>
      <c r="G10" t="s">
        <v>49</v>
      </c>
      <c r="J10" t="s">
        <v>49</v>
      </c>
      <c r="K10" t="s">
        <v>51</v>
      </c>
      <c r="L10" t="s">
        <v>51</v>
      </c>
      <c r="N10" t="s">
        <v>52</v>
      </c>
      <c r="O10" t="e">
        <f xml:space="preserve"> ROUND(MB31G / MOP,3)</f>
        <v>#NAME?</v>
      </c>
      <c r="U10" t="s">
        <v>30</v>
      </c>
      <c r="V10" t="s">
        <v>30</v>
      </c>
      <c r="W10" t="s">
        <v>53</v>
      </c>
    </row>
    <row r="11" spans="1:29" x14ac:dyDescent="0.35">
      <c r="E11" t="s">
        <v>54</v>
      </c>
      <c r="O11" t="s">
        <v>55</v>
      </c>
      <c r="W11" t="s">
        <v>55</v>
      </c>
    </row>
    <row r="37" spans="23:23" x14ac:dyDescent="0.35">
      <c r="W37" s="3"/>
    </row>
    <row r="38" spans="23:23" x14ac:dyDescent="0.35">
      <c r="W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CallBox1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 Horton</cp:lastModifiedBy>
  <dcterms:created xsi:type="dcterms:W3CDTF">2026-06-04T15:02:59Z</dcterms:created>
  <dcterms:modified xsi:type="dcterms:W3CDTF">2026-06-04T15:02:59Z</dcterms:modified>
</cp:coreProperties>
</file>