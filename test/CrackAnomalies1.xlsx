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D:\.PROGRAMMING\DRAS Files\Xcel Energy - 6'' Kodak Plant Lateral - Dynamic Risk Files\"/>
    </mc:Choice>
  </mc:AlternateContent>
  <xr:revisionPtr revIDLastSave="0" documentId="8_{0837150B-03F1-4040-ABAF-CFBA96B877F9}" xr6:coauthVersionLast="47" xr6:coauthVersionMax="47" xr10:uidLastSave="{00000000-0000-0000-0000-000000000000}"/>
  <bookViews>
    <workbookView xWindow="-110" yWindow="-110" windowWidth="38620" windowHeight="21100" xr2:uid="{FA02F141-1E79-47C3-B04F-BBAC1067704F}"/>
  </bookViews>
  <sheets>
    <sheet name="CrackAnomalies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Q10" i="1"/>
</calcChain>
</file>

<file path=xl/sharedStrings.xml><?xml version="1.0" encoding="utf-8"?>
<sst xmlns="http://schemas.openxmlformats.org/spreadsheetml/2006/main" count="76" uniqueCount="65">
  <si>
    <t>PackageCode</t>
  </si>
  <si>
    <t>ID</t>
  </si>
  <si>
    <t>Odometer</t>
  </si>
  <si>
    <t>Azimuth</t>
  </si>
  <si>
    <t>X_Coord</t>
  </si>
  <si>
    <t>Y_Coord</t>
  </si>
  <si>
    <t>Lat</t>
  </si>
  <si>
    <t>Long</t>
  </si>
  <si>
    <t>Height</t>
  </si>
  <si>
    <t>Length</t>
  </si>
  <si>
    <t>Largest Individual Indication</t>
  </si>
  <si>
    <t>Width</t>
  </si>
  <si>
    <t>DepthPercent</t>
  </si>
  <si>
    <t>DepthPercentLD</t>
  </si>
  <si>
    <t>DepthPercentText</t>
  </si>
  <si>
    <t>Failure Pressure</t>
  </si>
  <si>
    <t>FPR</t>
  </si>
  <si>
    <t>FPRTC</t>
  </si>
  <si>
    <t>RPR</t>
  </si>
  <si>
    <t>Relative Position</t>
  </si>
  <si>
    <t>Type</t>
  </si>
  <si>
    <t>Description</t>
  </si>
  <si>
    <t>Surface</t>
  </si>
  <si>
    <t>POE</t>
  </si>
  <si>
    <t>Due Date</t>
  </si>
  <si>
    <t>Status</t>
  </si>
  <si>
    <t>Growth Rate Depth</t>
  </si>
  <si>
    <t>Growth Rate Length</t>
  </si>
  <si>
    <t>Discovery Date</t>
  </si>
  <si>
    <t>ESF</t>
  </si>
  <si>
    <t>Depth Tolerance - @ 80% Conf.</t>
  </si>
  <si>
    <t>Depth Tolerance - StdDev</t>
  </si>
  <si>
    <t>Length Tolerance - @ 80% Conf.</t>
  </si>
  <si>
    <t>Length Tolerance - StdDev</t>
  </si>
  <si>
    <t>Width Tolerance - @ 80% Conf.</t>
  </si>
  <si>
    <t>Width Tolerance - StdDev</t>
  </si>
  <si>
    <t>where crackanomalies = 1</t>
  </si>
  <si>
    <t>Feature ID</t>
  </si>
  <si>
    <t>Odometer Main</t>
  </si>
  <si>
    <t>Orientation Center</t>
  </si>
  <si>
    <t>Easting</t>
  </si>
  <si>
    <t>Northing</t>
  </si>
  <si>
    <t>Latitude</t>
  </si>
  <si>
    <t>Longitude</t>
  </si>
  <si>
    <t>If NCF feature type = width</t>
  </si>
  <si>
    <t>Depth (%)</t>
  </si>
  <si>
    <t>MB31G</t>
  </si>
  <si>
    <t>find column with this header in export file</t>
  </si>
  <si>
    <t>= ((MB31G / SMYS) / (2*Wall Thickness / Outside Diameter)</t>
  </si>
  <si>
    <t>concatenate feature type and comment</t>
  </si>
  <si>
    <t>if isExternal = Yes, "E"</t>
  </si>
  <si>
    <t xml:space="preserve"> Depth Tolerance - @ 80% Conf. / 1.25
rounded to 3 decimals</t>
  </si>
  <si>
    <t>Length Tolerance - @ 80% Conf. / 1.25
rounded to 3 decimals</t>
  </si>
  <si>
    <t>Width Tolerance - @ 80% Conf. / 1.25
rounded to 3 decimals</t>
  </si>
  <si>
    <t>this will be a column added to the noviview export by analyst</t>
  </si>
  <si>
    <t>in degrees, 0-360</t>
  </si>
  <si>
    <t>If SWF feature type = length</t>
  </si>
  <si>
    <t>or</t>
  </si>
  <si>
    <t>if isExternal = No, "I"</t>
  </si>
  <si>
    <t>can be ft or m in headers</t>
  </si>
  <si>
    <t>if export is already 0-360, copy column</t>
  </si>
  <si>
    <t>can be in or mm in header</t>
  </si>
  <si>
    <t>can be kpa or psi in header</t>
  </si>
  <si>
    <t>if export is clock, convert to 0-360</t>
  </si>
  <si>
    <t>whichever is not blank (MOP or MAOP)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</si>
</sst>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 applyAlignment="1">
      <alignment wrapText="1"/>
    </xf>
    <xf numFmtId="0" fontId="0" fillId="33" borderId="0" xfId="0" quotePrefix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86C4-7F59-4775-879A-065C2A304551}">
  <dimension ref="A1:AJ11"/>
  <sheetViews>
    <sheetView tabSelected="1" topLeftCell="J1" zoomScale="55" zoomScaleNormal="55" workbookViewId="0">
      <selection activeCell="P9" sqref="P9"/>
    </sheetView>
  </sheetViews>
  <sheetFormatPr defaultRowHeight="14.45"/>
  <cols>
    <col min="1" max="1" width="12" bestFit="1" customWidth="1"/>
    <col min="2" max="2" width="49.140625" bestFit="1" customWidth="1"/>
    <col min="3" max="3" width="20.5703125" bestFit="1" customWidth="1"/>
    <col min="4" max="4" width="31.85546875" bestFit="1" customWidth="1"/>
    <col min="5" max="6" width="20.5703125" bestFit="1" customWidth="1"/>
    <col min="7" max="7" width="7.42578125" bestFit="1" customWidth="1"/>
    <col min="9" max="9" width="20.5703125" bestFit="1" customWidth="1"/>
    <col min="10" max="10" width="21.5703125" bestFit="1" customWidth="1"/>
    <col min="11" max="11" width="23.42578125" bestFit="1" customWidth="1"/>
    <col min="12" max="12" width="21.5703125" bestFit="1" customWidth="1"/>
    <col min="13" max="13" width="12.140625" bestFit="1" customWidth="1"/>
    <col min="14" max="14" width="14.42578125" bestFit="1" customWidth="1"/>
    <col min="15" max="15" width="15.5703125" bestFit="1" customWidth="1"/>
    <col min="16" max="16" width="22.28515625" bestFit="1" customWidth="1"/>
    <col min="17" max="17" width="31.85546875" bestFit="1" customWidth="1"/>
    <col min="18" max="18" width="26.5703125" customWidth="1"/>
    <col min="19" max="19" width="48.85546875" bestFit="1" customWidth="1"/>
    <col min="20" max="20" width="14.28515625" bestFit="1" customWidth="1"/>
    <col min="21" max="21" width="4.5703125" bestFit="1" customWidth="1"/>
    <col min="22" max="22" width="33" bestFit="1" customWidth="1"/>
    <col min="23" max="23" width="18.140625" bestFit="1" customWidth="1"/>
    <col min="24" max="24" width="4.28515625" bestFit="1" customWidth="1"/>
    <col min="25" max="25" width="8.42578125" bestFit="1" customWidth="1"/>
    <col min="26" max="26" width="17.85546875" customWidth="1"/>
    <col min="27" max="27" width="16.140625" bestFit="1" customWidth="1"/>
    <col min="28" max="28" width="16.5703125" bestFit="1" customWidth="1"/>
    <col min="29" max="29" width="13.140625" bestFit="1" customWidth="1"/>
    <col min="30" max="30" width="3.85546875" bestFit="1" customWidth="1"/>
    <col min="31" max="31" width="26.140625" bestFit="1" customWidth="1"/>
    <col min="32" max="32" width="21.42578125" bestFit="1" customWidth="1"/>
    <col min="33" max="33" width="26.5703125" bestFit="1" customWidth="1"/>
    <col min="34" max="34" width="22" bestFit="1" customWidth="1"/>
    <col min="35" max="35" width="25.85546875" bestFit="1" customWidth="1"/>
    <col min="36" max="36" width="21.28515625" bestFit="1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5" spans="1:36">
      <c r="B5" t="s">
        <v>36</v>
      </c>
    </row>
    <row r="8" spans="1:36" ht="43.5"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8</v>
      </c>
      <c r="J8" t="s">
        <v>9</v>
      </c>
      <c r="K8" t="s">
        <v>44</v>
      </c>
      <c r="L8" t="s">
        <v>11</v>
      </c>
      <c r="M8" t="s">
        <v>45</v>
      </c>
      <c r="P8" t="s">
        <v>46</v>
      </c>
      <c r="Q8" t="e">
        <f ca="1" xml:space="preserve"> ROUND(MB31G / MAOP,3)</f>
        <v>#NAME?</v>
      </c>
      <c r="R8" s="1" t="s">
        <v>47</v>
      </c>
      <c r="S8" t="s">
        <v>48</v>
      </c>
      <c r="V8" t="s">
        <v>49</v>
      </c>
      <c r="W8" t="s">
        <v>50</v>
      </c>
      <c r="Z8" s="1" t="s">
        <v>47</v>
      </c>
      <c r="AE8" s="1" t="s">
        <v>47</v>
      </c>
      <c r="AF8" s="2" t="s">
        <v>51</v>
      </c>
      <c r="AG8" s="1" t="s">
        <v>47</v>
      </c>
      <c r="AH8" s="2" t="s">
        <v>52</v>
      </c>
      <c r="AI8" s="1" t="s">
        <v>47</v>
      </c>
      <c r="AJ8" s="2" t="s">
        <v>53</v>
      </c>
    </row>
    <row r="9" spans="1:36">
      <c r="B9" t="s">
        <v>54</v>
      </c>
      <c r="D9" t="s">
        <v>55</v>
      </c>
      <c r="K9" t="s">
        <v>56</v>
      </c>
      <c r="Q9" t="s">
        <v>57</v>
      </c>
      <c r="W9" t="s">
        <v>58</v>
      </c>
    </row>
    <row r="10" spans="1:36">
      <c r="C10" t="s">
        <v>59</v>
      </c>
      <c r="D10" t="s">
        <v>60</v>
      </c>
      <c r="E10" t="s">
        <v>59</v>
      </c>
      <c r="F10" t="s">
        <v>59</v>
      </c>
      <c r="I10" t="s">
        <v>59</v>
      </c>
      <c r="J10" t="s">
        <v>61</v>
      </c>
      <c r="L10" t="s">
        <v>61</v>
      </c>
      <c r="P10" t="s">
        <v>62</v>
      </c>
      <c r="Q10" t="e">
        <f ca="1" xml:space="preserve"> ROUND(MB31G / MOP,3)</f>
        <v>#NAME?</v>
      </c>
    </row>
    <row r="11" spans="1:36">
      <c r="D11" t="s">
        <v>63</v>
      </c>
      <c r="Q1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2026-06-04T15:03:09Z</dcterms:created>
  <dcterms:modified xsi:type="dcterms:W3CDTF">2026-06-04T19:26:28Z</dcterms:modified>
  <cp:category/>
  <cp:contentStatus/>
</cp:coreProperties>
</file>